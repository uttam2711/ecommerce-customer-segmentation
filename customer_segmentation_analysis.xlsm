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ttam prajapat\Documents\Olist_data\"/>
    </mc:Choice>
  </mc:AlternateContent>
  <xr:revisionPtr revIDLastSave="0" documentId="13_ncr:1_{4CC24937-DAAA-45D7-BDF6-4CCDE3EF9CEE}" xr6:coauthVersionLast="47" xr6:coauthVersionMax="47" xr10:uidLastSave="{00000000-0000-0000-0000-000000000000}"/>
  <bookViews>
    <workbookView xWindow="-108" yWindow="-108" windowWidth="23256" windowHeight="13176" xr2:uid="{DD733E12-5EF4-461C-97D5-7B5774838799}"/>
  </bookViews>
  <sheets>
    <sheet name="persona_summary" sheetId="2" r:id="rId1"/>
    <sheet name="Sheet1" sheetId="1" r:id="rId2"/>
  </sheets>
  <definedNames>
    <definedName name="ExternalData_1" localSheetId="0" hidden="1">persona_summary!$A$1:$E$5</definedName>
    <definedName name="LoyalCustomerLookup">persona_summary!$G$11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4B046A-339A-4626-88A6-8F9BD9F635D4}" keepAlive="1" name="Query - persona_summary" description="Connection to the 'persona_summary' query in the workbook." type="5" refreshedVersion="8" background="1" saveData="1">
    <dbPr connection="Provider=Microsoft.Mashup.OleDb.1;Data Source=$Workbook$;Location=persona_summary;Extended Properties=&quot;&quot;" command="SELECT * FROM [persona_summary]"/>
  </connection>
</connections>
</file>

<file path=xl/sharedStrings.xml><?xml version="1.0" encoding="utf-8"?>
<sst xmlns="http://schemas.openxmlformats.org/spreadsheetml/2006/main" count="17" uniqueCount="13">
  <si>
    <t>Persona</t>
  </si>
  <si>
    <t>Customer_Count</t>
  </si>
  <si>
    <t>Avg_Recency</t>
  </si>
  <si>
    <t>Avg_Frequency</t>
  </si>
  <si>
    <t>Avg_Monetary</t>
  </si>
  <si>
    <t>Lapsed / At-Risk</t>
  </si>
  <si>
    <t>Loyal Repeat Customers</t>
  </si>
  <si>
    <t>New / Low-Value</t>
  </si>
  <si>
    <t>Recent Big Spenders</t>
  </si>
  <si>
    <t>Row Labels</t>
  </si>
  <si>
    <t>Grand Total</t>
  </si>
  <si>
    <t>Sum of Avg_Monetary</t>
  </si>
  <si>
    <t>Sum of Customer_Count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</si>
</sst>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color rgb="FF52514E"/>
      <name val="Segoe UI"/>
      <family val="2"/>
    </font>
    <font>
      <b/>
      <sz val="11"/>
      <color rgb="FF52514E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tam prajapat" refreshedDate="46285.886847337963" createdVersion="8" refreshedVersion="8" minRefreshableVersion="3" recordCount="4" xr:uid="{5C8A87A5-DB7E-4A1D-A684-E95F39102426}">
  <cacheSource type="worksheet">
    <worksheetSource name="persona_summary"/>
  </cacheSource>
  <cacheFields count="5">
    <cacheField name="Persona" numFmtId="0">
      <sharedItems count="4">
        <s v="Lapsed / At-Risk"/>
        <s v="Loyal Repeat Customers"/>
        <s v="New / Low-Value"/>
        <s v="Recent Big Spenders"/>
      </sharedItems>
    </cacheField>
    <cacheField name="Customer_Count" numFmtId="0">
      <sharedItems containsSemiMixedTypes="0" containsString="0" containsNumber="1" containsInteger="1" minValue="2801" maxValue="35690"/>
    </cacheField>
    <cacheField name="Avg_Recency" numFmtId="0">
      <sharedItems containsSemiMixedTypes="0" containsString="0" containsNumber="1" minValue="147.80823760156906" maxValue="425.36319881525361"/>
    </cacheField>
    <cacheField name="Avg_Frequency" numFmtId="0">
      <sharedItems containsSemiMixedTypes="0" containsString="0" containsNumber="1" minValue="1" maxValue="2.1138878971795787"/>
    </cacheField>
    <cacheField name="Avg_Monetary" numFmtId="0">
      <sharedItems containsSemiMixedTypes="0" containsString="0" containsNumber="1" minValue="69.052519193051282" maxValue="318.231237076392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27010"/>
    <n v="425.36319881525361"/>
    <n v="1"/>
    <n v="119.54723472787856"/>
  </r>
  <r>
    <x v="1"/>
    <n v="2801"/>
    <n v="220.29453766511961"/>
    <n v="2.1138878971795787"/>
    <n v="308.58879328811139"/>
  </r>
  <r>
    <x v="2"/>
    <n v="35690"/>
    <n v="147.80823760156906"/>
    <n v="1"/>
    <n v="69.052519193051282"/>
  </r>
  <r>
    <x v="3"/>
    <n v="27856"/>
    <n v="173.45178776565191"/>
    <n v="1"/>
    <n v="318.231237076392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102C8-7580-42EC-9B00-8B453C4ACE1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I8" firstHeaderRow="0" firstDataRow="1" firstDataCol="1"/>
  <pivotFields count="5">
    <pivotField axis="axisRow" showAll="0">
      <items count="5">
        <item x="0"/>
        <item x="1"/>
        <item x="2"/>
        <item x="3"/>
        <item t="default"/>
      </items>
    </pivotField>
    <pivotField dataField="1" showAll="0"/>
    <pivotField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vg_Monetary" fld="4" baseField="0" baseItem="0"/>
    <dataField name="Sum of Customer_C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4A23E0C-098D-4ED4-AA5F-B8F493E1A9BC}" autoFormatId="16" applyNumberFormats="0" applyBorderFormats="0" applyFontFormats="0" applyPatternFormats="0" applyAlignmentFormats="0" applyWidthHeightFormats="0">
  <queryTableRefresh nextId="6">
    <queryTableFields count="5">
      <queryTableField id="1" name="Persona" tableColumnId="1"/>
      <queryTableField id="2" name="Customer_Count" tableColumnId="2"/>
      <queryTableField id="3" name="Avg_Recency" tableColumnId="3"/>
      <queryTableField id="4" name="Avg_Frequency" tableColumnId="4"/>
      <queryTableField id="5" name="Avg_Monetary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5F5E5E-3888-4DB8-B002-87DB3060B050}" name="persona_summary" displayName="persona_summary" ref="A1:E5" tableType="queryTable" totalsRowShown="0">
  <autoFilter ref="A1:E5" xr:uid="{715F5E5E-3888-4DB8-B002-87DB3060B050}"/>
  <tableColumns count="5">
    <tableColumn id="1" xr3:uid="{5FD91DCA-1725-4BA5-B5D9-F1E24366DBA2}" uniqueName="1" name="Persona" queryTableFieldId="1" dataDxfId="0"/>
    <tableColumn id="2" xr3:uid="{654B275F-66D4-4FD5-9443-1D68345AFC1C}" uniqueName="2" name="Customer_Count" queryTableFieldId="2"/>
    <tableColumn id="3" xr3:uid="{ACD921FE-1FE0-4EAE-92EC-831F66BEB092}" uniqueName="3" name="Avg_Recency" queryTableFieldId="3"/>
    <tableColumn id="4" xr3:uid="{BA2F9C82-DE59-4315-B049-1AD60C286365}" uniqueName="4" name="Avg_Frequency" queryTableFieldId="4"/>
    <tableColumn id="5" xr3:uid="{3F2959CF-2DD2-4E2B-905F-D11A5DB92C39}" uniqueName="5" name="Avg_Monetary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D4F10-F06F-495A-B03A-65A4E87322E4}">
  <sheetPr codeName="Sheet1"/>
  <dimension ref="A1:I12"/>
  <sheetViews>
    <sheetView tabSelected="1" workbookViewId="0">
      <selection activeCell="G11" sqref="G11"/>
    </sheetView>
  </sheetViews>
  <sheetFormatPr defaultRowHeight="14.4" x14ac:dyDescent="0.3"/>
  <cols>
    <col min="1" max="1" width="20.44140625" bestFit="1" customWidth="1"/>
    <col min="2" max="2" width="17.109375" bestFit="1" customWidth="1"/>
    <col min="3" max="3" width="13.88671875" bestFit="1" customWidth="1"/>
    <col min="4" max="4" width="15.6640625" bestFit="1" customWidth="1"/>
    <col min="5" max="5" width="14.5546875" bestFit="1" customWidth="1"/>
    <col min="7" max="7" width="20.44140625" bestFit="1" customWidth="1"/>
    <col min="8" max="8" width="18.5546875" bestFit="1" customWidth="1"/>
    <col min="9" max="9" width="21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 x14ac:dyDescent="0.3">
      <c r="A2" t="s">
        <v>5</v>
      </c>
      <c r="B2">
        <v>27010</v>
      </c>
      <c r="C2">
        <v>425.36319881525361</v>
      </c>
      <c r="D2">
        <v>1</v>
      </c>
      <c r="E2">
        <v>119.54723472787856</v>
      </c>
    </row>
    <row r="3" spans="1:9" x14ac:dyDescent="0.3">
      <c r="A3" t="s">
        <v>6</v>
      </c>
      <c r="B3">
        <v>2801</v>
      </c>
      <c r="C3">
        <v>220.29453766511961</v>
      </c>
      <c r="D3">
        <v>2.1138878971795787</v>
      </c>
      <c r="E3">
        <v>308.58879328811139</v>
      </c>
      <c r="G3" s="1" t="s">
        <v>9</v>
      </c>
      <c r="H3" t="s">
        <v>11</v>
      </c>
      <c r="I3" t="s">
        <v>12</v>
      </c>
    </row>
    <row r="4" spans="1:9" x14ac:dyDescent="0.3">
      <c r="A4" t="s">
        <v>7</v>
      </c>
      <c r="B4">
        <v>35690</v>
      </c>
      <c r="C4">
        <v>147.80823760156906</v>
      </c>
      <c r="D4">
        <v>1</v>
      </c>
      <c r="E4">
        <v>69.052519193051282</v>
      </c>
      <c r="G4" s="2" t="s">
        <v>5</v>
      </c>
      <c r="H4" s="5">
        <v>119.54723472787856</v>
      </c>
      <c r="I4" s="5">
        <v>27010</v>
      </c>
    </row>
    <row r="5" spans="1:9" x14ac:dyDescent="0.3">
      <c r="A5" t="s">
        <v>8</v>
      </c>
      <c r="B5">
        <v>27856</v>
      </c>
      <c r="C5">
        <v>173.45178776565191</v>
      </c>
      <c r="D5">
        <v>1</v>
      </c>
      <c r="E5">
        <v>318.23123707639297</v>
      </c>
      <c r="G5" s="2" t="s">
        <v>6</v>
      </c>
      <c r="H5" s="5">
        <v>308.58879328811139</v>
      </c>
      <c r="I5" s="5">
        <v>2801</v>
      </c>
    </row>
    <row r="6" spans="1:9" x14ac:dyDescent="0.3">
      <c r="G6" s="2" t="s">
        <v>7</v>
      </c>
      <c r="H6" s="5">
        <v>69.052519193051282</v>
      </c>
      <c r="I6" s="5">
        <v>35690</v>
      </c>
    </row>
    <row r="7" spans="1:9" x14ac:dyDescent="0.3">
      <c r="G7" s="2" t="s">
        <v>8</v>
      </c>
      <c r="H7" s="5">
        <v>318.23123707639297</v>
      </c>
      <c r="I7" s="5">
        <v>27856</v>
      </c>
    </row>
    <row r="8" spans="1:9" x14ac:dyDescent="0.3">
      <c r="G8" s="2" t="s">
        <v>10</v>
      </c>
      <c r="H8" s="5">
        <v>815.41978428543416</v>
      </c>
      <c r="I8" s="5">
        <v>93357</v>
      </c>
    </row>
    <row r="11" spans="1:9" ht="16.8" x14ac:dyDescent="0.4">
      <c r="G11" s="4">
        <f xml:space="preserve"> VLOOKUP("Loyal Repeat Customers", A:E, 5, FALSE)</f>
        <v>308.58879328811139</v>
      </c>
    </row>
    <row r="12" spans="1:9" x14ac:dyDescent="0.3">
      <c r="G12" s="3"/>
    </row>
  </sheetData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61056-E154-44B8-9FB0-3FC5048F7855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8DCDB-1FB7-474C-8337-875E93125E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persona_summary</vt:lpstr>
      <vt:lpstr>Sheet1</vt:lpstr>
      <vt:lpstr>LoyalCustomerLookup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Uttam Prajapat</dc:creator>
  <cp:lastModifiedBy>Uttam Prajapat</cp:lastModifiedBy>
  <dcterms:created xsi:type="dcterms:W3CDTF">2026-09-20T15:42:52Z</dcterms:created>
  <dcterms:modified xsi:type="dcterms:W3CDTF">2026-09-20T16:28:40Z</dcterms:modified>
</cp:coreProperties>
</file>